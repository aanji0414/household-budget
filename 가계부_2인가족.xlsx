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대시보드" sheetId="1" state="visible" r:id="rId1"/>
    <sheet name="💼 수입" sheetId="2" state="visible" r:id="rId2"/>
    <sheet name="🛒 생활비" sheetId="3" state="visible" r:id="rId3"/>
    <sheet name="📈 주식투자" sheetId="4" state="visible" r:id="rId4"/>
    <sheet name="🏦 적금예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0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color rgb="00FFFFFF"/>
      <sz val="18"/>
    </font>
    <font>
      <name val="Arial"/>
      <i val="1"/>
      <color rgb="00595959"/>
      <sz val="9"/>
    </font>
  </fonts>
  <fills count="1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7030A0"/>
        <bgColor rgb="007030A0"/>
      </patternFill>
    </fill>
    <fill>
      <patternFill patternType="solid">
        <fgColor rgb="009B59B6"/>
        <bgColor rgb="009B59B6"/>
      </patternFill>
    </fill>
    <fill>
      <patternFill patternType="solid">
        <fgColor rgb="00EAD1DC"/>
        <bgColor rgb="00EAD1DC"/>
      </patternFill>
    </fill>
    <fill>
      <patternFill patternType="solid">
        <fgColor rgb="002E4057"/>
        <bgColor rgb="002E4057"/>
      </patternFill>
    </fill>
    <fill>
      <patternFill patternType="solid">
        <fgColor rgb="004A7C9E"/>
        <bgColor rgb="004A7C9E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8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5" fillId="6" borderId="2" applyAlignment="1" pivotButton="0" quotePrefix="0" xfId="0">
      <alignment horizontal="left" vertical="center"/>
    </xf>
    <xf numFmtId="164" fontId="9" fillId="6" borderId="2" applyAlignment="1" pivotButton="0" quotePrefix="0" xfId="0">
      <alignment horizontal="right" vertical="center"/>
    </xf>
    <xf numFmtId="0" fontId="5" fillId="12" borderId="2" applyAlignment="1" pivotButton="0" quotePrefix="0" xfId="0">
      <alignment horizontal="left" vertical="center"/>
    </xf>
    <xf numFmtId="164" fontId="9" fillId="12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right" vertical="center"/>
    </xf>
    <xf numFmtId="0" fontId="8" fillId="13" borderId="2" applyAlignment="1" pivotButton="0" quotePrefix="0" xfId="0">
      <alignment horizontal="center" vertical="center" wrapText="1"/>
    </xf>
    <xf numFmtId="0" fontId="0" fillId="13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5" fillId="15" borderId="2" applyAlignment="1" pivotButton="0" quotePrefix="0" xfId="0">
      <alignment horizontal="left" vertical="center"/>
    </xf>
    <xf numFmtId="3" fontId="9" fillId="15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left" vertical="center"/>
    </xf>
    <xf numFmtId="164" fontId="9" fillId="9" borderId="2" applyAlignment="1" pivotButton="0" quotePrefix="0" xfId="0">
      <alignment horizontal="right" vertical="center"/>
    </xf>
    <xf numFmtId="3" fontId="9" fillId="7" borderId="2" applyAlignment="1" pivotButton="0" quotePrefix="0" xfId="0">
      <alignment horizontal="right" vertical="center"/>
    </xf>
    <xf numFmtId="164" fontId="9" fillId="15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left" vertical="center"/>
    </xf>
    <xf numFmtId="164" fontId="7" fillId="9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center" vertical="center" wrapText="1"/>
    </xf>
    <xf numFmtId="0" fontId="0" fillId="11" borderId="2" pivotButton="0" quotePrefix="0" xfId="0"/>
    <xf numFmtId="0" fontId="2" fillId="7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5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0" fontId="0" fillId="3" borderId="2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/>
    </xf>
    <xf numFmtId="164" fontId="2" fillId="9" borderId="2" applyAlignment="1" pivotButton="0" quotePrefix="0" xfId="0">
      <alignment horizontal="right" vertical="center"/>
    </xf>
    <xf numFmtId="0" fontId="0" fillId="9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9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/>
    </xf>
    <xf numFmtId="164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4" fillId="11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164" fontId="5" fillId="12" borderId="2" applyAlignment="1" pivotButton="0" quotePrefix="0" xfId="0">
      <alignment horizontal="right" vertical="center"/>
    </xf>
    <xf numFmtId="165" fontId="5" fillId="12" borderId="2" applyAlignment="1" pivotButton="0" quotePrefix="0" xfId="0">
      <alignment horizontal="right" vertical="center"/>
    </xf>
    <xf numFmtId="0" fontId="2" fillId="12" borderId="2" applyAlignment="1" pivotButton="0" quotePrefix="0" xfId="0">
      <alignment horizontal="left" vertical="center"/>
    </xf>
    <xf numFmtId="164" fontId="2" fillId="12" borderId="2" applyAlignment="1" pivotButton="0" quotePrefix="0" xfId="0">
      <alignment horizontal="right" vertical="center"/>
    </xf>
    <xf numFmtId="0" fontId="0" fillId="12" borderId="2" pivotButton="0" quotePrefix="0" xfId="0"/>
    <xf numFmtId="164" fontId="2" fillId="7" borderId="2" applyAlignment="1" pivotButton="0" quotePrefix="0" xfId="0">
      <alignment horizontal="right" vertical="center"/>
    </xf>
    <xf numFmtId="0" fontId="0" fillId="7" borderId="2" pivotButton="0" quotePrefix="0" xfId="0"/>
    <xf numFmtId="165" fontId="2" fillId="7" borderId="2" applyAlignment="1" pivotButton="0" quotePrefix="0" xfId="0">
      <alignment horizontal="right" vertical="center"/>
    </xf>
    <xf numFmtId="0" fontId="1" fillId="13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4" fillId="14" borderId="2" applyAlignment="1" pivotButton="0" quotePrefix="0" xfId="0">
      <alignment horizontal="center" vertical="center" wrapText="1"/>
    </xf>
    <xf numFmtId="10" fontId="3" fillId="4" borderId="2" applyAlignment="1" pivotButton="0" quotePrefix="0" xfId="0">
      <alignment horizontal="right" vertical="center"/>
    </xf>
    <xf numFmtId="0" fontId="2" fillId="15" borderId="2" applyAlignment="1" pivotButton="0" quotePrefix="0" xfId="0">
      <alignment horizontal="left" vertical="center"/>
    </xf>
    <xf numFmtId="164" fontId="2" fillId="15" borderId="2" applyAlignment="1" pivotButton="0" quotePrefix="0" xfId="0">
      <alignment horizontal="right" vertical="center"/>
    </xf>
    <xf numFmtId="0" fontId="0" fillId="15" borderId="2" pivotButton="0" quotePrefix="0" xfId="0"/>
    <xf numFmtId="0" fontId="8" fillId="16" borderId="2" applyAlignment="1" pivotButton="0" quotePrefix="0" xfId="0">
      <alignment horizontal="center" vertical="center" wrapText="1"/>
    </xf>
    <xf numFmtId="0" fontId="0" fillId="16" borderId="2" pivotButton="0" quotePrefix="0" xfId="0"/>
    <xf numFmtId="0" fontId="4" fillId="17" borderId="2" applyAlignment="1" pivotButton="0" quotePrefix="0" xfId="0">
      <alignment horizontal="center" vertical="center" wrapText="1"/>
    </xf>
    <xf numFmtId="3" fontId="2" fillId="15" borderId="2" applyAlignment="1" pivotButton="0" quotePrefix="0" xfId="0">
      <alignment horizontal="right" vertical="center"/>
    </xf>
    <xf numFmtId="3" fontId="2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4" customWidth="1" min="4" max="4"/>
    <col width="24" customWidth="1" min="5" max="5"/>
    <col width="20" customWidth="1" min="6" max="6"/>
    <col width="4" customWidth="1" min="7" max="7"/>
  </cols>
  <sheetData>
    <row r="1" ht="8" customHeight="1"/>
    <row r="2" ht="44" customHeight="1">
      <c r="B2" s="1" t="inlineStr">
        <is>
          <t>🏠 2인 가족 가계부 대시보드</t>
        </is>
      </c>
      <c r="C2" s="2" t="n"/>
      <c r="D2" s="2" t="n"/>
      <c r="E2" s="2" t="n"/>
      <c r="F2" s="2" t="n"/>
    </row>
    <row r="3" ht="8" customHeight="1"/>
    <row r="4" ht="26" customHeight="1">
      <c r="B4" s="3" t="inlineStr">
        <is>
          <t>💰 수입 요약</t>
        </is>
      </c>
      <c r="C4" s="4" t="n"/>
      <c r="E4" s="5" t="inlineStr">
        <is>
          <t>📈 주식 투자 현황</t>
        </is>
      </c>
      <c r="F4" s="6" t="n"/>
    </row>
    <row r="5" ht="22" customHeight="1">
      <c r="B5" s="7" t="inlineStr">
        <is>
          <t>구성원 1 월급</t>
        </is>
      </c>
      <c r="C5" s="8">
        <f>'💼 수입'!C6</f>
        <v/>
      </c>
      <c r="E5" s="9" t="inlineStr">
        <is>
          <t>총 투자 원금</t>
        </is>
      </c>
      <c r="F5" s="10">
        <f>'📈 주식투자'!C16</f>
        <v/>
      </c>
    </row>
    <row r="6" ht="22" customHeight="1">
      <c r="B6" s="11" t="inlineStr">
        <is>
          <t>구성원 2 월급</t>
        </is>
      </c>
      <c r="C6" s="12">
        <f>'💼 수입'!C7</f>
        <v/>
      </c>
      <c r="E6" s="11" t="inlineStr">
        <is>
          <t>현재 평가금액</t>
        </is>
      </c>
      <c r="F6" s="12">
        <f>'📈 주식투자'!C17</f>
        <v/>
      </c>
    </row>
    <row r="7" ht="22" customHeight="1">
      <c r="B7" s="7" t="inlineStr">
        <is>
          <t>보너스 합계</t>
        </is>
      </c>
      <c r="C7" s="8">
        <f>'💼 수입'!C8+'💼 수입'!C9</f>
        <v/>
      </c>
      <c r="E7" s="9" t="inlineStr">
        <is>
          <t>이번 달 수익금</t>
        </is>
      </c>
      <c r="F7" s="10">
        <f>'📈 주식투자'!C18</f>
        <v/>
      </c>
    </row>
    <row r="8" ht="22" customHeight="1">
      <c r="B8" s="11" t="inlineStr">
        <is>
          <t>기타 수입</t>
        </is>
      </c>
      <c r="C8" s="12">
        <f>'💼 수입'!C10</f>
        <v/>
      </c>
      <c r="E8" s="11" t="inlineStr">
        <is>
          <t>총 수익률</t>
        </is>
      </c>
      <c r="F8" s="13">
        <f>'📈 주식투자'!C19</f>
        <v/>
      </c>
    </row>
    <row r="9" ht="8" customHeight="1">
      <c r="B9" s="14" t="inlineStr">
        <is>
          <t>수입 합계</t>
        </is>
      </c>
      <c r="C9" s="15">
        <f>'💼 수입'!C11</f>
        <v/>
      </c>
    </row>
    <row r="10" ht="26" customHeight="1">
      <c r="E10" s="16" t="inlineStr">
        <is>
          <t>🏦 적금/예금 현황</t>
        </is>
      </c>
      <c r="F10" s="17" t="n"/>
    </row>
    <row r="11" ht="22" customHeight="1">
      <c r="B11" s="18" t="inlineStr">
        <is>
          <t>🛒 지출 요약</t>
        </is>
      </c>
      <c r="C11" s="19" t="n"/>
      <c r="E11" s="20" t="inlineStr">
        <is>
          <t>적금 상품 수</t>
        </is>
      </c>
      <c r="F11" s="21">
        <f>'🏦 적금예금'!C23</f>
        <v/>
      </c>
    </row>
    <row r="12" ht="22" customHeight="1">
      <c r="B12" s="22" t="inlineStr">
        <is>
          <t>주거비</t>
        </is>
      </c>
      <c r="C12" s="23">
        <f>'🛒 생활비'!C6</f>
        <v/>
      </c>
      <c r="E12" s="11" t="inlineStr">
        <is>
          <t>예금 상품 수</t>
        </is>
      </c>
      <c r="F12" s="24">
        <f>'🏦 적금예금'!C24</f>
        <v/>
      </c>
    </row>
    <row r="13" ht="22" customHeight="1">
      <c r="B13" s="11" t="inlineStr">
        <is>
          <t>식비</t>
        </is>
      </c>
      <c r="C13" s="12">
        <f>'🛒 생활비'!C7</f>
        <v/>
      </c>
      <c r="E13" s="20" t="inlineStr">
        <is>
          <t>월 납입 총액</t>
        </is>
      </c>
      <c r="F13" s="25">
        <f>'🏦 적금예금'!C25</f>
        <v/>
      </c>
    </row>
    <row r="14" ht="22" customHeight="1">
      <c r="B14" s="22" t="inlineStr">
        <is>
          <t>교통비</t>
        </is>
      </c>
      <c r="C14" s="23">
        <f>'🛒 생활비'!C8</f>
        <v/>
      </c>
      <c r="E14" s="11" t="inlineStr">
        <is>
          <t>적금 누적 잔액</t>
        </is>
      </c>
      <c r="F14" s="12">
        <f>'🏦 적금예금'!C26</f>
        <v/>
      </c>
    </row>
    <row r="15" ht="22" customHeight="1">
      <c r="B15" s="11" t="inlineStr">
        <is>
          <t>통신비</t>
        </is>
      </c>
      <c r="C15" s="12">
        <f>'🛒 생활비'!C9</f>
        <v/>
      </c>
      <c r="E15" s="20" t="inlineStr">
        <is>
          <t>예금 잔액</t>
        </is>
      </c>
      <c r="F15" s="25">
        <f>'🏦 적금예금'!C27</f>
        <v/>
      </c>
    </row>
    <row r="16" ht="22" customHeight="1">
      <c r="B16" s="22" t="inlineStr">
        <is>
          <t>의료/건강</t>
        </is>
      </c>
      <c r="C16" s="23">
        <f>'🛒 생활비'!C10</f>
        <v/>
      </c>
      <c r="E16" s="11" t="inlineStr">
        <is>
          <t>저축 총 잔액</t>
        </is>
      </c>
      <c r="F16" s="12">
        <f>'🏦 적금예금'!C28</f>
        <v/>
      </c>
    </row>
    <row r="17" ht="22" customHeight="1">
      <c r="B17" s="11" t="inlineStr">
        <is>
          <t>여가/문화</t>
        </is>
      </c>
      <c r="C17" s="12">
        <f>'🛒 생활비'!C11</f>
        <v/>
      </c>
    </row>
    <row r="18" ht="22" customHeight="1">
      <c r="B18" s="22" t="inlineStr">
        <is>
          <t>교육비</t>
        </is>
      </c>
      <c r="C18" s="23">
        <f>'🛒 생활비'!C12</f>
        <v/>
      </c>
    </row>
    <row r="19" ht="22" customHeight="1">
      <c r="B19" s="11" t="inlineStr">
        <is>
          <t>기타</t>
        </is>
      </c>
      <c r="C19" s="12">
        <f>'🛒 생활비'!C13</f>
        <v/>
      </c>
    </row>
    <row r="20" ht="22" customHeight="1">
      <c r="B20" s="26" t="inlineStr">
        <is>
          <t>지출 합계</t>
        </is>
      </c>
      <c r="C20" s="27">
        <f>'🛒 생활비'!C14</f>
        <v/>
      </c>
    </row>
    <row r="21" ht="8" customHeight="1"/>
    <row r="22" ht="26" customHeight="1">
      <c r="B22" s="28" t="inlineStr">
        <is>
          <t>💡 월간 순잔액</t>
        </is>
      </c>
      <c r="C22" s="29" t="n"/>
    </row>
    <row r="23" ht="22" customHeight="1">
      <c r="B23" s="9" t="inlineStr">
        <is>
          <t>월 수입 합계</t>
        </is>
      </c>
      <c r="C23" s="10">
        <f>'💼 수입'!C11</f>
        <v/>
      </c>
    </row>
    <row r="24" ht="22" customHeight="1">
      <c r="B24" s="11" t="inlineStr">
        <is>
          <t>월 지출 합계</t>
        </is>
      </c>
      <c r="C24" s="12">
        <f>'🛒 생활비'!C14</f>
        <v/>
      </c>
    </row>
    <row r="25" ht="22" customHeight="1">
      <c r="B25" s="9" t="inlineStr">
        <is>
          <t>적금 납입 총액</t>
        </is>
      </c>
      <c r="C25" s="10">
        <f>'🏦 적금예금'!C25</f>
        <v/>
      </c>
    </row>
    <row r="26" ht="22" customHeight="1">
      <c r="B26" s="30" t="inlineStr">
        <is>
          <t>순잔액 (수입-지출-적금)</t>
        </is>
      </c>
      <c r="C26" s="31">
        <f>'💼 수입'!C11-'🛒 생활비'!C14-'🏦 적금예금'!C25</f>
        <v/>
      </c>
    </row>
    <row r="27" ht="8" customHeight="1"/>
    <row r="28" ht="18" customHeight="1">
      <c r="B28" s="32" t="inlineStr">
        <is>
          <t>📌 색상 범례:  파란색 글씨 = 직접 입력값   |   초록색 글씨 = 다른 시트 연동값</t>
        </is>
      </c>
    </row>
  </sheetData>
  <mergeCells count="7">
    <mergeCell ref="E4:F4"/>
    <mergeCell ref="B2:F2"/>
    <mergeCell ref="B11:C11"/>
    <mergeCell ref="E10:F10"/>
    <mergeCell ref="B28:F28"/>
    <mergeCell ref="B22:C2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8" customHeight="1"/>
    <row r="2" ht="40" customHeight="1">
      <c r="B2" s="33" t="inlineStr">
        <is>
          <t>💼 월간 수입 관리</t>
        </is>
      </c>
      <c r="C2" s="2" t="n"/>
      <c r="D2" s="2" t="n"/>
      <c r="E2" s="2" t="n"/>
      <c r="F2" s="2" t="n"/>
    </row>
    <row r="3" ht="8" customHeight="1"/>
    <row r="4" ht="22" customHeight="1">
      <c r="B4" s="34" t="inlineStr">
        <is>
          <t>기준 월</t>
        </is>
      </c>
      <c r="C4" s="35" t="inlineStr">
        <is>
          <t>2026년 06월</t>
        </is>
      </c>
      <c r="D4" s="36" t="n"/>
      <c r="E4" s="36" t="n"/>
      <c r="F4" s="36" t="n"/>
    </row>
    <row r="5" ht="26" customHeight="1">
      <c r="B5" s="37" t="inlineStr">
        <is>
          <t>항목</t>
        </is>
      </c>
      <c r="C5" s="37" t="inlineStr">
        <is>
          <t>이번 달 금액 (원)</t>
        </is>
      </c>
      <c r="D5" s="37" t="inlineStr">
        <is>
          <t>전월 금액 (원)</t>
        </is>
      </c>
      <c r="E5" s="37" t="inlineStr">
        <is>
          <t>전년 동월 (원)</t>
        </is>
      </c>
      <c r="F5" s="37" t="inlineStr">
        <is>
          <t>비고</t>
        </is>
      </c>
    </row>
    <row r="6" ht="22" customHeight="1">
      <c r="B6" s="7" t="inlineStr">
        <is>
          <t>구성원 1 월급</t>
        </is>
      </c>
      <c r="C6" s="38" t="n">
        <v>0</v>
      </c>
      <c r="D6" s="38" t="n">
        <v>0</v>
      </c>
      <c r="E6" s="38" t="n">
        <v>0</v>
      </c>
      <c r="F6" s="39" t="inlineStr">
        <is>
          <t>기본급 + 수당</t>
        </is>
      </c>
    </row>
    <row r="7" ht="22" customHeight="1">
      <c r="B7" s="11" t="inlineStr">
        <is>
          <t>구성원 2 월급</t>
        </is>
      </c>
      <c r="C7" s="38" t="n">
        <v>0</v>
      </c>
      <c r="D7" s="38" t="n">
        <v>0</v>
      </c>
      <c r="E7" s="38" t="n">
        <v>0</v>
      </c>
      <c r="F7" s="40" t="inlineStr">
        <is>
          <t>기본급 + 수당</t>
        </is>
      </c>
    </row>
    <row r="8" ht="22" customHeight="1">
      <c r="B8" s="7" t="inlineStr">
        <is>
          <t>구성원 1 보너스/상여</t>
        </is>
      </c>
      <c r="C8" s="38" t="n">
        <v>0</v>
      </c>
      <c r="D8" s="38" t="n">
        <v>0</v>
      </c>
      <c r="E8" s="38" t="n">
        <v>0</v>
      </c>
      <c r="F8" s="39" t="inlineStr">
        <is>
          <t>분기별 등</t>
        </is>
      </c>
    </row>
    <row r="9" ht="22" customHeight="1">
      <c r="B9" s="11" t="inlineStr">
        <is>
          <t>구성원 2 보너스/상여</t>
        </is>
      </c>
      <c r="C9" s="38" t="n">
        <v>0</v>
      </c>
      <c r="D9" s="38" t="n">
        <v>0</v>
      </c>
      <c r="E9" s="38" t="n">
        <v>0</v>
      </c>
      <c r="F9" s="40" t="inlineStr">
        <is>
          <t>분기별 등</t>
        </is>
      </c>
    </row>
    <row r="10" ht="22" customHeight="1">
      <c r="B10" s="7" t="inlineStr">
        <is>
          <t>기타 수입 (부업 등)</t>
        </is>
      </c>
      <c r="C10" s="38" t="n">
        <v>0</v>
      </c>
      <c r="D10" s="38" t="n">
        <v>0</v>
      </c>
      <c r="E10" s="38" t="n">
        <v>0</v>
      </c>
      <c r="F10" s="39" t="inlineStr"/>
    </row>
    <row r="11" ht="24" customHeight="1">
      <c r="B11" s="34" t="inlineStr">
        <is>
          <t>💰 수입 합계</t>
        </is>
      </c>
      <c r="C11" s="41">
        <f>SUM(C6:C10)</f>
        <v/>
      </c>
      <c r="D11" s="41">
        <f>SUM(D6:D10)</f>
        <v/>
      </c>
      <c r="E11" s="41">
        <f>SUM(E6:E10)</f>
        <v/>
      </c>
      <c r="F11" s="42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8" customHeight="1"/>
    <row r="2" ht="40" customHeight="1">
      <c r="B2" s="43" t="inlineStr">
        <is>
          <t>🛒 2인 가족 생활비 관리</t>
        </is>
      </c>
      <c r="C2" s="44" t="n"/>
      <c r="D2" s="44" t="n"/>
      <c r="E2" s="44" t="n"/>
      <c r="F2" s="44" t="n"/>
    </row>
    <row r="3" ht="8" customHeight="1"/>
    <row r="4" ht="22" customHeight="1">
      <c r="B4" s="26" t="inlineStr">
        <is>
          <t>기준 월</t>
        </is>
      </c>
      <c r="C4" s="45">
        <f>'💼 수입'!C4</f>
        <v/>
      </c>
      <c r="D4" s="36" t="n"/>
      <c r="E4" s="36" t="n"/>
      <c r="F4" s="36" t="n"/>
    </row>
    <row r="5" ht="26" customHeight="1">
      <c r="B5" s="46" t="inlineStr">
        <is>
          <t>생활비 항목</t>
        </is>
      </c>
      <c r="C5" s="46" t="inlineStr">
        <is>
          <t>이번 달 금액 (원)</t>
        </is>
      </c>
      <c r="D5" s="46" t="inlineStr">
        <is>
          <t>전월 금액 (원)</t>
        </is>
      </c>
      <c r="E5" s="46" t="inlineStr">
        <is>
          <t>예산 (원)</t>
        </is>
      </c>
      <c r="F5" s="46" t="inlineStr">
        <is>
          <t>비고</t>
        </is>
      </c>
    </row>
    <row r="6" ht="22" customHeight="1">
      <c r="B6" s="22" t="inlineStr">
        <is>
          <t>주거비 (월세/관리비)</t>
        </is>
      </c>
      <c r="C6" s="38" t="n">
        <v>0</v>
      </c>
      <c r="D6" s="38" t="n">
        <v>0</v>
      </c>
      <c r="E6" s="38" t="n">
        <v>0</v>
      </c>
      <c r="F6" s="47" t="inlineStr">
        <is>
          <t>월세, 관리비</t>
        </is>
      </c>
    </row>
    <row r="7" ht="22" customHeight="1">
      <c r="B7" s="11" t="inlineStr">
        <is>
          <t>식비 (외식 포함)</t>
        </is>
      </c>
      <c r="C7" s="38" t="n">
        <v>0</v>
      </c>
      <c r="D7" s="38" t="n">
        <v>0</v>
      </c>
      <c r="E7" s="38" t="n">
        <v>0</v>
      </c>
      <c r="F7" s="40" t="inlineStr">
        <is>
          <t>마트, 배달, 외식</t>
        </is>
      </c>
    </row>
    <row r="8" ht="22" customHeight="1">
      <c r="B8" s="22" t="inlineStr">
        <is>
          <t>교통비</t>
        </is>
      </c>
      <c r="C8" s="38" t="n">
        <v>0</v>
      </c>
      <c r="D8" s="38" t="n">
        <v>0</v>
      </c>
      <c r="E8" s="38" t="n">
        <v>0</v>
      </c>
      <c r="F8" s="47" t="inlineStr">
        <is>
          <t>대중교통, 주유, 주차</t>
        </is>
      </c>
    </row>
    <row r="9" ht="22" customHeight="1">
      <c r="B9" s="11" t="inlineStr">
        <is>
          <t>통신비 (핸드폰 등)</t>
        </is>
      </c>
      <c r="C9" s="38" t="n">
        <v>0</v>
      </c>
      <c r="D9" s="38" t="n">
        <v>0</v>
      </c>
      <c r="E9" s="38" t="n">
        <v>0</v>
      </c>
      <c r="F9" s="40" t="inlineStr">
        <is>
          <t>2인 합산</t>
        </is>
      </c>
    </row>
    <row r="10" ht="22" customHeight="1">
      <c r="B10" s="22" t="inlineStr">
        <is>
          <t>의료/건강비</t>
        </is>
      </c>
      <c r="C10" s="38" t="n">
        <v>0</v>
      </c>
      <c r="D10" s="38" t="n">
        <v>0</v>
      </c>
      <c r="E10" s="38" t="n">
        <v>0</v>
      </c>
      <c r="F10" s="47" t="inlineStr">
        <is>
          <t>병원, 약, 헬스</t>
        </is>
      </c>
    </row>
    <row r="11" ht="22" customHeight="1">
      <c r="B11" s="11" t="inlineStr">
        <is>
          <t>여가/문화생활비</t>
        </is>
      </c>
      <c r="C11" s="38" t="n">
        <v>0</v>
      </c>
      <c r="D11" s="38" t="n">
        <v>0</v>
      </c>
      <c r="E11" s="38" t="n">
        <v>0</v>
      </c>
      <c r="F11" s="40" t="inlineStr">
        <is>
          <t>여행, OTT, 취미</t>
        </is>
      </c>
    </row>
    <row r="12" ht="22" customHeight="1">
      <c r="B12" s="22" t="inlineStr">
        <is>
          <t>교육비</t>
        </is>
      </c>
      <c r="C12" s="38" t="n">
        <v>0</v>
      </c>
      <c r="D12" s="38" t="n">
        <v>0</v>
      </c>
      <c r="E12" s="38" t="n">
        <v>0</v>
      </c>
      <c r="F12" s="47" t="inlineStr">
        <is>
          <t>도서, 강의</t>
        </is>
      </c>
    </row>
    <row r="13" ht="22" customHeight="1">
      <c r="B13" s="11" t="inlineStr">
        <is>
          <t>기타 생활비</t>
        </is>
      </c>
      <c r="C13" s="38" t="n">
        <v>0</v>
      </c>
      <c r="D13" s="38" t="n">
        <v>0</v>
      </c>
      <c r="E13" s="38" t="n">
        <v>0</v>
      </c>
      <c r="F13" s="40" t="inlineStr"/>
    </row>
    <row r="14" ht="24" customHeight="1">
      <c r="B14" s="26" t="inlineStr">
        <is>
          <t>🛒 지출 합계</t>
        </is>
      </c>
      <c r="C14" s="48">
        <f>SUM(C6:C13)</f>
        <v/>
      </c>
      <c r="D14" s="48">
        <f>SUM(D6:D13)</f>
        <v/>
      </c>
      <c r="E14" s="48">
        <f>SUM(E6:E13)</f>
        <v/>
      </c>
      <c r="F14" s="49" t="n"/>
    </row>
    <row r="15" ht="8" customHeight="1"/>
    <row r="16" ht="26" customHeight="1">
      <c r="B16" s="50" t="inlineStr">
        <is>
          <t>📊 예산 대비 지출 분석</t>
        </is>
      </c>
      <c r="C16" s="51" t="n"/>
      <c r="D16" s="51" t="n"/>
      <c r="E16" s="51" t="n"/>
      <c r="F16" s="51" t="n"/>
    </row>
    <row r="17" ht="26" customHeight="1">
      <c r="B17" s="37" t="inlineStr">
        <is>
          <t>항목</t>
        </is>
      </c>
      <c r="C17" s="37" t="inlineStr">
        <is>
          <t>이번 달 지출</t>
        </is>
      </c>
      <c r="D17" s="37" t="inlineStr">
        <is>
          <t>예산</t>
        </is>
      </c>
      <c r="E17" s="37" t="inlineStr">
        <is>
          <t>잔액 (예산-지출)</t>
        </is>
      </c>
      <c r="F17" s="37" t="inlineStr">
        <is>
          <t>달성률</t>
        </is>
      </c>
    </row>
    <row r="18" ht="22" customHeight="1">
      <c r="B18" s="52">
        <f>B6</f>
        <v/>
      </c>
      <c r="C18" s="53">
        <f>C6</f>
        <v/>
      </c>
      <c r="D18" s="53">
        <f>E6</f>
        <v/>
      </c>
      <c r="E18" s="54">
        <f>D18-C18</f>
        <v/>
      </c>
      <c r="F18" s="55">
        <f>IF(D18=0,0,C18/D18)</f>
        <v/>
      </c>
    </row>
    <row r="19" ht="22" customHeight="1">
      <c r="B19" s="56">
        <f>B7</f>
        <v/>
      </c>
      <c r="C19" s="12">
        <f>C7</f>
        <v/>
      </c>
      <c r="D19" s="12">
        <f>E7</f>
        <v/>
      </c>
      <c r="E19" s="57">
        <f>D19-C19</f>
        <v/>
      </c>
      <c r="F19" s="58">
        <f>IF(D19=0,0,C19/D19)</f>
        <v/>
      </c>
    </row>
    <row r="20" ht="22" customHeight="1">
      <c r="B20" s="52">
        <f>B8</f>
        <v/>
      </c>
      <c r="C20" s="53">
        <f>C8</f>
        <v/>
      </c>
      <c r="D20" s="53">
        <f>E8</f>
        <v/>
      </c>
      <c r="E20" s="54">
        <f>D20-C20</f>
        <v/>
      </c>
      <c r="F20" s="55">
        <f>IF(D20=0,0,C20/D20)</f>
        <v/>
      </c>
    </row>
    <row r="21" ht="22" customHeight="1">
      <c r="B21" s="56">
        <f>B9</f>
        <v/>
      </c>
      <c r="C21" s="12">
        <f>C9</f>
        <v/>
      </c>
      <c r="D21" s="12">
        <f>E9</f>
        <v/>
      </c>
      <c r="E21" s="57">
        <f>D21-C21</f>
        <v/>
      </c>
      <c r="F21" s="58">
        <f>IF(D21=0,0,C21/D21)</f>
        <v/>
      </c>
    </row>
    <row r="22" ht="22" customHeight="1">
      <c r="B22" s="52">
        <f>B10</f>
        <v/>
      </c>
      <c r="C22" s="53">
        <f>C10</f>
        <v/>
      </c>
      <c r="D22" s="53">
        <f>E10</f>
        <v/>
      </c>
      <c r="E22" s="54">
        <f>D22-C22</f>
        <v/>
      </c>
      <c r="F22" s="55">
        <f>IF(D22=0,0,C22/D22)</f>
        <v/>
      </c>
    </row>
    <row r="23" ht="22" customHeight="1">
      <c r="B23" s="56">
        <f>B11</f>
        <v/>
      </c>
      <c r="C23" s="12">
        <f>C11</f>
        <v/>
      </c>
      <c r="D23" s="12">
        <f>E11</f>
        <v/>
      </c>
      <c r="E23" s="57">
        <f>D23-C23</f>
        <v/>
      </c>
      <c r="F23" s="58">
        <f>IF(D23=0,0,C23/D23)</f>
        <v/>
      </c>
    </row>
    <row r="24" ht="22" customHeight="1">
      <c r="B24" s="52">
        <f>B12</f>
        <v/>
      </c>
      <c r="C24" s="53">
        <f>C12</f>
        <v/>
      </c>
      <c r="D24" s="53">
        <f>E12</f>
        <v/>
      </c>
      <c r="E24" s="54">
        <f>D24-C24</f>
        <v/>
      </c>
      <c r="F24" s="55">
        <f>IF(D24=0,0,C24/D24)</f>
        <v/>
      </c>
    </row>
    <row r="25" ht="22" customHeight="1">
      <c r="B25" s="56">
        <f>B13</f>
        <v/>
      </c>
      <c r="C25" s="12">
        <f>C13</f>
        <v/>
      </c>
      <c r="D25" s="12">
        <f>E13</f>
        <v/>
      </c>
      <c r="E25" s="57">
        <f>D25-C25</f>
        <v/>
      </c>
      <c r="F25" s="58">
        <f>IF(D25=0,0,C25/D25)</f>
        <v/>
      </c>
    </row>
  </sheetData>
  <mergeCells count="2">
    <mergeCell ref="B2:F2"/>
    <mergeCell ref="B16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3" customWidth="1" min="8" max="8"/>
  </cols>
  <sheetData>
    <row r="1" ht="8" customHeight="1"/>
    <row r="2" ht="40" customHeight="1">
      <c r="B2" s="59" t="inlineStr">
        <is>
          <t>📈 주식 투자 관리</t>
        </is>
      </c>
      <c r="C2" s="60" t="n"/>
      <c r="D2" s="60" t="n"/>
      <c r="E2" s="60" t="n"/>
      <c r="F2" s="60" t="n"/>
      <c r="G2" s="60" t="n"/>
    </row>
    <row r="3" ht="8" customHeight="1"/>
    <row r="4" ht="8" customHeight="1"/>
    <row r="5" ht="26" customHeight="1">
      <c r="B5" s="61" t="inlineStr">
        <is>
          <t>종목명</t>
        </is>
      </c>
      <c r="C5" s="61" t="inlineStr">
        <is>
          <t>투자 원금 (원)</t>
        </is>
      </c>
      <c r="D5" s="61" t="inlineStr">
        <is>
          <t>현재 평가금액 (원)</t>
        </is>
      </c>
      <c r="E5" s="61" t="inlineStr">
        <is>
          <t>평가손익 (원)</t>
        </is>
      </c>
      <c r="F5" s="61" t="inlineStr">
        <is>
          <t>수익률</t>
        </is>
      </c>
      <c r="G5" s="61" t="inlineStr">
        <is>
          <t>이번 달 실현수익 (원)</t>
        </is>
      </c>
    </row>
    <row r="6" ht="22" customHeight="1">
      <c r="B6" s="62" t="inlineStr"/>
      <c r="C6" s="38" t="n">
        <v>0</v>
      </c>
      <c r="D6" s="38" t="n">
        <v>0</v>
      </c>
      <c r="E6" s="63">
        <f>D6-C6</f>
        <v/>
      </c>
      <c r="F6" s="64">
        <f>IF(C6=0,0,(D6-C6)/C6)</f>
        <v/>
      </c>
      <c r="G6" s="38" t="n">
        <v>0</v>
      </c>
    </row>
    <row r="7" ht="22" customHeight="1">
      <c r="B7" s="62" t="inlineStr"/>
      <c r="C7" s="38" t="n">
        <v>0</v>
      </c>
      <c r="D7" s="38" t="n">
        <v>0</v>
      </c>
      <c r="E7" s="57">
        <f>D7-C7</f>
        <v/>
      </c>
      <c r="F7" s="58">
        <f>IF(C7=0,0,(D7-C7)/C7)</f>
        <v/>
      </c>
      <c r="G7" s="38" t="n">
        <v>0</v>
      </c>
    </row>
    <row r="8" ht="22" customHeight="1">
      <c r="B8" s="62" t="inlineStr"/>
      <c r="C8" s="38" t="n">
        <v>0</v>
      </c>
      <c r="D8" s="38" t="n">
        <v>0</v>
      </c>
      <c r="E8" s="63">
        <f>D8-C8</f>
        <v/>
      </c>
      <c r="F8" s="64">
        <f>IF(C8=0,0,(D8-C8)/C8)</f>
        <v/>
      </c>
      <c r="G8" s="38" t="n">
        <v>0</v>
      </c>
    </row>
    <row r="9" ht="22" customHeight="1">
      <c r="B9" s="62" t="inlineStr"/>
      <c r="C9" s="38" t="n">
        <v>0</v>
      </c>
      <c r="D9" s="38" t="n">
        <v>0</v>
      </c>
      <c r="E9" s="57">
        <f>D9-C9</f>
        <v/>
      </c>
      <c r="F9" s="58">
        <f>IF(C9=0,0,(D9-C9)/C9)</f>
        <v/>
      </c>
      <c r="G9" s="38" t="n">
        <v>0</v>
      </c>
    </row>
    <row r="10" ht="22" customHeight="1">
      <c r="B10" s="62" t="inlineStr"/>
      <c r="C10" s="38" t="n">
        <v>0</v>
      </c>
      <c r="D10" s="38" t="n">
        <v>0</v>
      </c>
      <c r="E10" s="63">
        <f>D10-C10</f>
        <v/>
      </c>
      <c r="F10" s="64">
        <f>IF(C10=0,0,(D10-C10)/C10)</f>
        <v/>
      </c>
      <c r="G10" s="38" t="n">
        <v>0</v>
      </c>
    </row>
    <row r="11" ht="22" customHeight="1">
      <c r="B11" s="62" t="inlineStr"/>
      <c r="C11" s="38" t="n">
        <v>0</v>
      </c>
      <c r="D11" s="38" t="n">
        <v>0</v>
      </c>
      <c r="E11" s="57">
        <f>D11-C11</f>
        <v/>
      </c>
      <c r="F11" s="58">
        <f>IF(C11=0,0,(D11-C11)/C11)</f>
        <v/>
      </c>
      <c r="G11" s="38" t="n">
        <v>0</v>
      </c>
    </row>
    <row r="12" ht="22" customHeight="1">
      <c r="B12" s="62" t="inlineStr"/>
      <c r="C12" s="38" t="n">
        <v>0</v>
      </c>
      <c r="D12" s="38" t="n">
        <v>0</v>
      </c>
      <c r="E12" s="63">
        <f>D12-C12</f>
        <v/>
      </c>
      <c r="F12" s="64">
        <f>IF(C12=0,0,(D12-C12)/C12)</f>
        <v/>
      </c>
      <c r="G12" s="38" t="n">
        <v>0</v>
      </c>
    </row>
    <row r="13" ht="22" customHeight="1">
      <c r="B13" s="62" t="inlineStr"/>
      <c r="C13" s="38" t="n">
        <v>0</v>
      </c>
      <c r="D13" s="38" t="n">
        <v>0</v>
      </c>
      <c r="E13" s="57">
        <f>D13-C13</f>
        <v/>
      </c>
      <c r="F13" s="58">
        <f>IF(C13=0,0,(D13-C13)/C13)</f>
        <v/>
      </c>
      <c r="G13" s="38" t="n">
        <v>0</v>
      </c>
    </row>
    <row r="14" ht="8" customHeight="1"/>
    <row r="15" ht="26" customHeight="1">
      <c r="B15" s="5" t="inlineStr">
        <is>
          <t>📊 투자 요약</t>
        </is>
      </c>
      <c r="C15" s="6" t="n"/>
      <c r="D15" s="6" t="n"/>
      <c r="E15" s="6" t="n"/>
      <c r="F15" s="6" t="n"/>
      <c r="G15" s="6" t="n"/>
    </row>
    <row r="16" ht="22" customHeight="1">
      <c r="B16" s="65" t="inlineStr">
        <is>
          <t>총 투자 원금</t>
        </is>
      </c>
      <c r="C16" s="66">
        <f>SUM(C6:C13)</f>
        <v/>
      </c>
      <c r="D16" s="67" t="n"/>
      <c r="E16" s="67" t="n"/>
      <c r="F16" s="67" t="n"/>
      <c r="G16" s="67" t="n"/>
    </row>
    <row r="17" ht="22" customHeight="1">
      <c r="B17" s="30" t="inlineStr">
        <is>
          <t>현재 총 평가금액</t>
        </is>
      </c>
      <c r="C17" s="68">
        <f>SUM(D6:D13)</f>
        <v/>
      </c>
      <c r="D17" s="69" t="n"/>
      <c r="E17" s="69" t="n"/>
      <c r="F17" s="69" t="n"/>
      <c r="G17" s="69" t="n"/>
    </row>
    <row r="18" ht="22" customHeight="1">
      <c r="B18" s="65" t="inlineStr">
        <is>
          <t>이번 달 실현 수익금</t>
        </is>
      </c>
      <c r="C18" s="66">
        <f>SUM(G6:G13)</f>
        <v/>
      </c>
      <c r="D18" s="67" t="n"/>
      <c r="E18" s="67" t="n"/>
      <c r="F18" s="67" t="n"/>
      <c r="G18" s="67" t="n"/>
    </row>
    <row r="19" ht="22" customHeight="1">
      <c r="B19" s="30" t="inlineStr">
        <is>
          <t>총 수익률</t>
        </is>
      </c>
      <c r="C19" s="70">
        <f>IF(C16=0,0,(C17-C16)/C16)</f>
        <v/>
      </c>
      <c r="D19" s="69" t="n"/>
      <c r="E19" s="69" t="n"/>
      <c r="F19" s="69" t="n"/>
      <c r="G19" s="69" t="n"/>
    </row>
  </sheetData>
  <mergeCells count="6">
    <mergeCell ref="B2:G2"/>
    <mergeCell ref="C16:G16"/>
    <mergeCell ref="C19:G19"/>
    <mergeCell ref="C18:G18"/>
    <mergeCell ref="B15:G15"/>
    <mergeCell ref="C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3" customWidth="1" min="8" max="8"/>
  </cols>
  <sheetData>
    <row r="1" ht="8" customHeight="1"/>
    <row r="2" ht="40" customHeight="1">
      <c r="B2" s="71" t="inlineStr">
        <is>
          <t>🏦 적금 / 예금 현황 관리</t>
        </is>
      </c>
      <c r="C2" s="72" t="n"/>
      <c r="D2" s="72" t="n"/>
      <c r="E2" s="72" t="n"/>
      <c r="F2" s="72" t="n"/>
      <c r="G2" s="72" t="n"/>
    </row>
    <row r="3" ht="8" customHeight="1"/>
    <row r="4" ht="26" customHeight="1">
      <c r="B4" s="16" t="inlineStr">
        <is>
          <t>📌 적금 상품 현황</t>
        </is>
      </c>
      <c r="C4" s="17" t="n"/>
      <c r="D4" s="17" t="n"/>
      <c r="E4" s="17" t="n"/>
      <c r="F4" s="17" t="n"/>
      <c r="G4" s="17" t="n"/>
    </row>
    <row r="5" ht="26" customHeight="1">
      <c r="B5" s="73" t="inlineStr">
        <is>
          <t>상품명/은행</t>
        </is>
      </c>
      <c r="C5" s="73" t="inlineStr">
        <is>
          <t>월 납입액 (원)</t>
        </is>
      </c>
      <c r="D5" s="73" t="inlineStr">
        <is>
          <t>금리 (%)</t>
        </is>
      </c>
      <c r="E5" s="73" t="inlineStr">
        <is>
          <t>만기일</t>
        </is>
      </c>
      <c r="F5" s="73" t="inlineStr">
        <is>
          <t>누적 잔액 (원)</t>
        </is>
      </c>
      <c r="G5" s="73" t="inlineStr">
        <is>
          <t>명의</t>
        </is>
      </c>
    </row>
    <row r="6" ht="22" customHeight="1">
      <c r="B6" s="62" t="inlineStr"/>
      <c r="C6" s="38" t="n">
        <v>0</v>
      </c>
      <c r="D6" s="74" t="n">
        <v>0</v>
      </c>
      <c r="E6" s="35" t="inlineStr"/>
      <c r="F6" s="38" t="n">
        <v>0</v>
      </c>
      <c r="G6" s="35" t="inlineStr"/>
    </row>
    <row r="7" ht="22" customHeight="1">
      <c r="B7" s="62" t="inlineStr"/>
      <c r="C7" s="38" t="n">
        <v>0</v>
      </c>
      <c r="D7" s="74" t="n">
        <v>0</v>
      </c>
      <c r="E7" s="35" t="inlineStr"/>
      <c r="F7" s="38" t="n">
        <v>0</v>
      </c>
      <c r="G7" s="35" t="inlineStr"/>
    </row>
    <row r="8" ht="22" customHeight="1">
      <c r="B8" s="62" t="inlineStr"/>
      <c r="C8" s="38" t="n">
        <v>0</v>
      </c>
      <c r="D8" s="74" t="n">
        <v>0</v>
      </c>
      <c r="E8" s="35" t="inlineStr"/>
      <c r="F8" s="38" t="n">
        <v>0</v>
      </c>
      <c r="G8" s="35" t="inlineStr"/>
    </row>
    <row r="9" ht="22" customHeight="1">
      <c r="B9" s="62" t="inlineStr"/>
      <c r="C9" s="38" t="n">
        <v>0</v>
      </c>
      <c r="D9" s="74" t="n">
        <v>0</v>
      </c>
      <c r="E9" s="35" t="inlineStr"/>
      <c r="F9" s="38" t="n">
        <v>0</v>
      </c>
      <c r="G9" s="35" t="inlineStr"/>
    </row>
    <row r="10" ht="22" customHeight="1">
      <c r="B10" s="62" t="inlineStr"/>
      <c r="C10" s="38" t="n">
        <v>0</v>
      </c>
      <c r="D10" s="74" t="n">
        <v>0</v>
      </c>
      <c r="E10" s="35" t="inlineStr"/>
      <c r="F10" s="38" t="n">
        <v>0</v>
      </c>
      <c r="G10" s="35" t="inlineStr"/>
    </row>
    <row r="11" ht="22" customHeight="1">
      <c r="B11" s="75" t="inlineStr">
        <is>
          <t>적금 소계</t>
        </is>
      </c>
      <c r="C11" s="76">
        <f>SUM(C6:C10)</f>
        <v/>
      </c>
      <c r="D11" s="77" t="n"/>
      <c r="E11" s="77" t="n"/>
      <c r="F11" s="76">
        <f>SUM(F6:F10)</f>
        <v/>
      </c>
      <c r="G11" s="77" t="n"/>
    </row>
    <row r="12" ht="8" customHeight="1"/>
    <row r="13" ht="26" customHeight="1">
      <c r="B13" s="78" t="inlineStr">
        <is>
          <t>🏛 예금 상품 현황</t>
        </is>
      </c>
      <c r="C13" s="79" t="n"/>
      <c r="D13" s="79" t="n"/>
      <c r="E13" s="79" t="n"/>
      <c r="F13" s="79" t="n"/>
      <c r="G13" s="79" t="n"/>
    </row>
    <row r="14" ht="26" customHeight="1">
      <c r="B14" s="80" t="inlineStr">
        <is>
          <t>상품명/은행</t>
        </is>
      </c>
      <c r="C14" s="80" t="inlineStr">
        <is>
          <t>예치 원금 (원)</t>
        </is>
      </c>
      <c r="D14" s="80" t="inlineStr">
        <is>
          <t>금리 (%)</t>
        </is>
      </c>
      <c r="E14" s="80" t="inlineStr">
        <is>
          <t>만기일</t>
        </is>
      </c>
      <c r="F14" s="80" t="inlineStr">
        <is>
          <t>현재 잔액 (원)</t>
        </is>
      </c>
      <c r="G14" s="80" t="inlineStr">
        <is>
          <t>명의</t>
        </is>
      </c>
    </row>
    <row r="15" ht="22" customHeight="1">
      <c r="B15" s="62" t="inlineStr"/>
      <c r="C15" s="38" t="n">
        <v>0</v>
      </c>
      <c r="D15" s="74" t="n">
        <v>0</v>
      </c>
      <c r="E15" s="35" t="inlineStr"/>
      <c r="F15" s="38" t="n">
        <v>0</v>
      </c>
      <c r="G15" s="35" t="inlineStr"/>
    </row>
    <row r="16" ht="22" customHeight="1">
      <c r="B16" s="62" t="inlineStr"/>
      <c r="C16" s="38" t="n">
        <v>0</v>
      </c>
      <c r="D16" s="74" t="n">
        <v>0</v>
      </c>
      <c r="E16" s="35" t="inlineStr"/>
      <c r="F16" s="38" t="n">
        <v>0</v>
      </c>
      <c r="G16" s="35" t="inlineStr"/>
    </row>
    <row r="17" ht="22" customHeight="1">
      <c r="B17" s="62" t="inlineStr"/>
      <c r="C17" s="38" t="n">
        <v>0</v>
      </c>
      <c r="D17" s="74" t="n">
        <v>0</v>
      </c>
      <c r="E17" s="35" t="inlineStr"/>
      <c r="F17" s="38" t="n">
        <v>0</v>
      </c>
      <c r="G17" s="35" t="inlineStr"/>
    </row>
    <row r="18" ht="22" customHeight="1">
      <c r="B18" s="62" t="inlineStr"/>
      <c r="C18" s="38" t="n">
        <v>0</v>
      </c>
      <c r="D18" s="74" t="n">
        <v>0</v>
      </c>
      <c r="E18" s="35" t="inlineStr"/>
      <c r="F18" s="38" t="n">
        <v>0</v>
      </c>
      <c r="G18" s="35" t="inlineStr"/>
    </row>
    <row r="19" ht="22" customHeight="1">
      <c r="B19" s="62" t="inlineStr"/>
      <c r="C19" s="38" t="n">
        <v>0</v>
      </c>
      <c r="D19" s="74" t="n">
        <v>0</v>
      </c>
      <c r="E19" s="35" t="inlineStr"/>
      <c r="F19" s="38" t="n">
        <v>0</v>
      </c>
      <c r="G19" s="35" t="inlineStr"/>
    </row>
    <row r="20" ht="22" customHeight="1">
      <c r="B20" s="34" t="inlineStr">
        <is>
          <t>예금 소계</t>
        </is>
      </c>
      <c r="C20" s="41">
        <f>SUM(C15:C19)</f>
        <v/>
      </c>
      <c r="D20" s="42" t="n"/>
      <c r="E20" s="42" t="n"/>
      <c r="F20" s="41">
        <f>SUM(F15:F19)</f>
        <v/>
      </c>
      <c r="G20" s="42" t="n"/>
    </row>
    <row r="21" ht="8" customHeight="1"/>
    <row r="22" ht="26" customHeight="1">
      <c r="B22" s="16" t="inlineStr">
        <is>
          <t>💎 저축 전체 요약</t>
        </is>
      </c>
      <c r="C22" s="17" t="n"/>
      <c r="D22" s="17" t="n"/>
      <c r="E22" s="17" t="n"/>
      <c r="F22" s="17" t="n"/>
      <c r="G22" s="17" t="n"/>
    </row>
    <row r="23" ht="22" customHeight="1">
      <c r="B23" s="75" t="inlineStr">
        <is>
          <t>적금 상품 수 (개)</t>
        </is>
      </c>
      <c r="C23" s="81">
        <f>COUNTA(B6:B10)</f>
        <v/>
      </c>
      <c r="D23" s="77" t="n"/>
      <c r="E23" s="77" t="n"/>
      <c r="F23" s="77" t="n"/>
      <c r="G23" s="77" t="n"/>
    </row>
    <row r="24" ht="22" customHeight="1">
      <c r="B24" s="30" t="inlineStr">
        <is>
          <t>예금 상품 수 (개)</t>
        </is>
      </c>
      <c r="C24" s="82">
        <f>COUNTA(B15:B19)</f>
        <v/>
      </c>
      <c r="D24" s="69" t="n"/>
      <c r="E24" s="69" t="n"/>
      <c r="F24" s="69" t="n"/>
      <c r="G24" s="69" t="n"/>
    </row>
    <row r="25" ht="22" customHeight="1">
      <c r="B25" s="75" t="inlineStr">
        <is>
          <t>이번 달 적금 납입 총액</t>
        </is>
      </c>
      <c r="C25" s="76">
        <f>C11</f>
        <v/>
      </c>
      <c r="D25" s="77" t="n"/>
      <c r="E25" s="77" t="n"/>
      <c r="F25" s="77" t="n"/>
      <c r="G25" s="77" t="n"/>
    </row>
    <row r="26" ht="22" customHeight="1">
      <c r="B26" s="30" t="inlineStr">
        <is>
          <t>적금 누적 잔액 합계</t>
        </is>
      </c>
      <c r="C26" s="68">
        <f>F11</f>
        <v/>
      </c>
      <c r="D26" s="69" t="n"/>
      <c r="E26" s="69" t="n"/>
      <c r="F26" s="69" t="n"/>
      <c r="G26" s="69" t="n"/>
    </row>
    <row r="27" ht="22" customHeight="1">
      <c r="B27" s="75" t="inlineStr">
        <is>
          <t>예금 잔액 합계</t>
        </is>
      </c>
      <c r="C27" s="76">
        <f>F20</f>
        <v/>
      </c>
      <c r="D27" s="77" t="n"/>
      <c r="E27" s="77" t="n"/>
      <c r="F27" s="77" t="n"/>
      <c r="G27" s="77" t="n"/>
    </row>
    <row r="28" ht="22" customHeight="1">
      <c r="B28" s="30" t="inlineStr">
        <is>
          <t>저축 총 잔액</t>
        </is>
      </c>
      <c r="C28" s="68">
        <f>F11+F20</f>
        <v/>
      </c>
      <c r="D28" s="69" t="n"/>
      <c r="E28" s="69" t="n"/>
      <c r="F28" s="69" t="n"/>
      <c r="G28" s="69" t="n"/>
    </row>
  </sheetData>
  <mergeCells count="10">
    <mergeCell ref="B2:G2"/>
    <mergeCell ref="B22:G22"/>
    <mergeCell ref="C24:G24"/>
    <mergeCell ref="C25:G25"/>
    <mergeCell ref="C28:G28"/>
    <mergeCell ref="C27:G27"/>
    <mergeCell ref="B4:G4"/>
    <mergeCell ref="B13:G13"/>
    <mergeCell ref="C23:G23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2026-06-13T14:08:56Z</dcterms:created>
  <dcterms:modified xsi:type="dcterms:W3CDTF">2026-06-13T14:08:56Z</dcterms:modified>
</cp:coreProperties>
</file>